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868fb075d3ee55/Documents/"/>
    </mc:Choice>
  </mc:AlternateContent>
  <xr:revisionPtr revIDLastSave="16" documentId="8_{1500862D-A8FB-4C40-B685-0519EB0E4421}" xr6:coauthVersionLast="47" xr6:coauthVersionMax="47" xr10:uidLastSave="{F79E9E34-0179-47A7-95D6-65B8AD648255}"/>
  <bookViews>
    <workbookView xWindow="9510" yWindow="0" windowWidth="9780" windowHeight="10890" firstSheet="2" activeTab="3" xr2:uid="{F926B03D-E70E-477C-94A8-624886764B89}"/>
  </bookViews>
  <sheets>
    <sheet name="Internal_Trades" sheetId="1" r:id="rId1"/>
    <sheet name="Broker_Confirmations" sheetId="2" r:id="rId2"/>
    <sheet name="Reconciliation" sheetId="4" r:id="rId3"/>
    <sheet name="Dashboard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J3" i="4"/>
  <c r="J4" i="4"/>
  <c r="J5" i="4"/>
  <c r="J6" i="4"/>
  <c r="J7" i="4"/>
  <c r="J8" i="4"/>
  <c r="J9" i="4"/>
  <c r="J10" i="4"/>
  <c r="K10" i="4" s="1"/>
  <c r="J11" i="4"/>
  <c r="J12" i="4"/>
  <c r="J2" i="4"/>
  <c r="I3" i="4"/>
  <c r="K3" i="4" s="1"/>
  <c r="I4" i="4"/>
  <c r="I5" i="4"/>
  <c r="K5" i="4" s="1"/>
  <c r="I6" i="4"/>
  <c r="K6" i="4" s="1"/>
  <c r="I7" i="4"/>
  <c r="K7" i="4" s="1"/>
  <c r="I8" i="4"/>
  <c r="I9" i="4"/>
  <c r="I10" i="4"/>
  <c r="I11" i="4"/>
  <c r="K11" i="4" s="1"/>
  <c r="I12" i="4"/>
  <c r="I2" i="4"/>
  <c r="K2" i="4" s="1"/>
  <c r="H3" i="4"/>
  <c r="H7" i="4"/>
  <c r="G3" i="4"/>
  <c r="G4" i="4"/>
  <c r="G5" i="4"/>
  <c r="G6" i="4"/>
  <c r="G7" i="4"/>
  <c r="G8" i="4"/>
  <c r="G9" i="4"/>
  <c r="G10" i="4"/>
  <c r="G11" i="4"/>
  <c r="G12" i="4"/>
  <c r="G2" i="4"/>
  <c r="F3" i="4"/>
  <c r="F4" i="4"/>
  <c r="F5" i="4"/>
  <c r="H5" i="4" s="1"/>
  <c r="F6" i="4"/>
  <c r="H6" i="4" s="1"/>
  <c r="F7" i="4"/>
  <c r="F8" i="4"/>
  <c r="F9" i="4"/>
  <c r="F10" i="4"/>
  <c r="F11" i="4"/>
  <c r="H11" i="4" s="1"/>
  <c r="F12" i="4"/>
  <c r="F2" i="4"/>
  <c r="H2" i="4" s="1"/>
  <c r="D3" i="4"/>
  <c r="D4" i="4"/>
  <c r="D5" i="4"/>
  <c r="D6" i="4"/>
  <c r="D7" i="4"/>
  <c r="D8" i="4"/>
  <c r="E8" i="4" s="1"/>
  <c r="D9" i="4"/>
  <c r="D10" i="4"/>
  <c r="E10" i="4" s="1"/>
  <c r="D11" i="4"/>
  <c r="D12" i="4"/>
  <c r="D2" i="4"/>
  <c r="E2" i="4" s="1"/>
  <c r="C3" i="4"/>
  <c r="C4" i="4"/>
  <c r="E4" i="4" s="1"/>
  <c r="C5" i="4"/>
  <c r="C6" i="4"/>
  <c r="E6" i="4" s="1"/>
  <c r="C7" i="4"/>
  <c r="C8" i="4"/>
  <c r="C9" i="4"/>
  <c r="C10" i="4"/>
  <c r="C11" i="4"/>
  <c r="C12" i="4"/>
  <c r="E12" i="4" s="1"/>
  <c r="C2" i="4"/>
  <c r="B12" i="4"/>
  <c r="B3" i="4"/>
  <c r="B4" i="4"/>
  <c r="B5" i="4"/>
  <c r="B6" i="4"/>
  <c r="B7" i="4"/>
  <c r="B8" i="4"/>
  <c r="B9" i="4"/>
  <c r="B10" i="4"/>
  <c r="B11" i="4"/>
  <c r="B2" i="4"/>
  <c r="E5" i="4" l="1"/>
  <c r="H9" i="4"/>
  <c r="K9" i="4"/>
  <c r="E11" i="4"/>
  <c r="L11" i="4" s="1"/>
  <c r="E3" i="4"/>
  <c r="L3" i="4" s="1"/>
  <c r="H12" i="4"/>
  <c r="H4" i="4"/>
  <c r="K12" i="4"/>
  <c r="K4" i="4"/>
  <c r="E9" i="4"/>
  <c r="H10" i="4"/>
  <c r="E7" i="4"/>
  <c r="L7" i="4" s="1"/>
  <c r="H8" i="4"/>
  <c r="K8" i="4"/>
  <c r="B15" i="5"/>
  <c r="L8" i="4"/>
  <c r="L6" i="4"/>
  <c r="B14" i="5"/>
  <c r="L10" i="4"/>
  <c r="L5" i="4"/>
  <c r="B13" i="5"/>
  <c r="L2" i="4"/>
  <c r="L12" i="4" l="1"/>
  <c r="L9" i="4"/>
  <c r="L4" i="4"/>
  <c r="B4" i="5"/>
  <c r="B9" i="5" s="1"/>
  <c r="B16" i="5"/>
  <c r="B5" i="5"/>
  <c r="B6" i="5"/>
  <c r="B8" i="5" l="1"/>
</calcChain>
</file>

<file path=xl/sharedStrings.xml><?xml version="1.0" encoding="utf-8"?>
<sst xmlns="http://schemas.openxmlformats.org/spreadsheetml/2006/main" count="137" uniqueCount="75">
  <si>
    <t>Trade_ID</t>
  </si>
  <si>
    <t>Trade_Date</t>
  </si>
  <si>
    <t>Security</t>
  </si>
  <si>
    <t>Quantity</t>
  </si>
  <si>
    <t>Price</t>
  </si>
  <si>
    <t>Counterparty</t>
  </si>
  <si>
    <t>Settlement_Date</t>
  </si>
  <si>
    <t>Status</t>
  </si>
  <si>
    <t>TR001</t>
  </si>
  <si>
    <t>RELIANCE</t>
  </si>
  <si>
    <t>JP Morgan</t>
  </si>
  <si>
    <t>Pending</t>
  </si>
  <si>
    <t>TR002</t>
  </si>
  <si>
    <t>TCS</t>
  </si>
  <si>
    <t>HSBC</t>
  </si>
  <si>
    <t>TR003</t>
  </si>
  <si>
    <t>INFY</t>
  </si>
  <si>
    <t>Citibank</t>
  </si>
  <si>
    <t>TR004</t>
  </si>
  <si>
    <t>HDFC</t>
  </si>
  <si>
    <t>Bank of America</t>
  </si>
  <si>
    <t>TR005</t>
  </si>
  <si>
    <t>ITC</t>
  </si>
  <si>
    <t>Deutsche Bank</t>
  </si>
  <si>
    <t>TR006</t>
  </si>
  <si>
    <t>WIPRO</t>
  </si>
  <si>
    <t>Morgan Stanley</t>
  </si>
  <si>
    <t>TR007</t>
  </si>
  <si>
    <t>BAJAJ-AUTO</t>
  </si>
  <si>
    <t>Goldman Sachs</t>
  </si>
  <si>
    <t>TR008</t>
  </si>
  <si>
    <t>MARUTI</t>
  </si>
  <si>
    <t>Barclays</t>
  </si>
  <si>
    <t>TR009</t>
  </si>
  <si>
    <t>HCLTECH</t>
  </si>
  <si>
    <t>UBS</t>
  </si>
  <si>
    <t>TR010</t>
  </si>
  <si>
    <t>ICICIBANK</t>
  </si>
  <si>
    <t>Credit Suisse</t>
  </si>
  <si>
    <t>Confirm_Date</t>
  </si>
  <si>
    <t>Confirmed</t>
  </si>
  <si>
    <t>TR011</t>
  </si>
  <si>
    <t>TATAMOTORS</t>
  </si>
  <si>
    <t>Internal_Qty</t>
  </si>
  <si>
    <t>Broker_Qty</t>
  </si>
  <si>
    <t>Qty_Match</t>
  </si>
  <si>
    <t>Internal_Price</t>
  </si>
  <si>
    <t>Broker_Price</t>
  </si>
  <si>
    <t>Price_Match</t>
  </si>
  <si>
    <t>Internal_Settlement</t>
  </si>
  <si>
    <t>Broker_Settlement</t>
  </si>
  <si>
    <t>Date_Match</t>
  </si>
  <si>
    <t>Match_Status</t>
  </si>
  <si>
    <t>Total Trades</t>
  </si>
  <si>
    <t>Matched Trades</t>
  </si>
  <si>
    <t>Breaks</t>
  </si>
  <si>
    <t>Missing Confirmations</t>
  </si>
  <si>
    <t>Exception Rate</t>
  </si>
  <si>
    <t>Match Rate</t>
  </si>
  <si>
    <t>Price Breaks</t>
  </si>
  <si>
    <t>Quantity Breaks</t>
  </si>
  <si>
    <t>Settlement Date Breaks</t>
  </si>
  <si>
    <t>Unconfirmed Trades</t>
  </si>
  <si>
    <t>High-Priority Issues:</t>
  </si>
  <si>
    <t>• TR002 &amp; TR009: Price discrepancies (₹2,500 + ₹6,000 exposure)</t>
  </si>
  <si>
    <t>• Implement automated price validation at trade capture to reduce price breaks</t>
  </si>
  <si>
    <t>• Establish daily confirmation follow-up process with brokers for unmatched trades</t>
  </si>
  <si>
    <t>• Target: Reduce exception rate from 63.6% to &lt;5% industry standard</t>
  </si>
  <si>
    <t xml:space="preserve">    TRADE RECONCILIATION SUMMARY </t>
  </si>
  <si>
    <t xml:space="preserve">    BREAK TYPE ANALYSIS</t>
  </si>
  <si>
    <t xml:space="preserve">   KEY FINDINGS &amp; RECOMMENDATIONS</t>
  </si>
  <si>
    <t>• TR005 &amp; TR010: Missing broker confirmations (₹9.6L + ₹34.1L  exposure)</t>
  </si>
  <si>
    <t>• TR003: Quantity mismatch of 200 shares (₹3.2L variance)</t>
  </si>
  <si>
    <t>DATA SOURCE</t>
  </si>
  <si>
    <t>Stock prices based on NSE India market data (February 2026). Trade scenarios simulated to demonstrate reconciliation workflows used in financial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</si>
</sst>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FE8181"/>
      <name val="Courier New"/>
      <family val="3"/>
    </font>
    <font>
      <sz val="11"/>
      <color theme="1"/>
      <name val="Courier New"/>
      <family val="3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2"/>
                </a:solidFill>
              </a:rPr>
              <a:t>Chart TitleTrade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(Dashboard!$A$4,Dashboard!$A$5,Dashboard!$A$6)</c:f>
              <c:strCache>
                <c:ptCount val="3"/>
                <c:pt idx="0">
                  <c:v>Matched Trades</c:v>
                </c:pt>
                <c:pt idx="1">
                  <c:v>Breaks</c:v>
                </c:pt>
                <c:pt idx="2">
                  <c:v>Missing Confirmations</c:v>
                </c:pt>
              </c:strCache>
            </c:strRef>
          </c:cat>
          <c:val>
            <c:numRef>
              <c:f>(Dashboard!$B$4,Dashboard!$B$5,Dashboard!$B$6)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1-4178-8C3C-844AAEAB3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2"/>
                </a:solidFill>
              </a:rPr>
              <a:t>Exception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527646544181979"/>
          <c:y val="0.19486111111111112"/>
          <c:w val="0.67223753280839893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(Dashboard!$A$13,Dashboard!$A$14,Dashboard!$A$15,Dashboard!$A$16)</c:f>
              <c:strCache>
                <c:ptCount val="4"/>
                <c:pt idx="0">
                  <c:v>Price Breaks</c:v>
                </c:pt>
                <c:pt idx="1">
                  <c:v>Quantity Breaks</c:v>
                </c:pt>
                <c:pt idx="2">
                  <c:v>Settlement Date Breaks</c:v>
                </c:pt>
                <c:pt idx="3">
                  <c:v>Unconfirmed Trades</c:v>
                </c:pt>
              </c:strCache>
            </c:strRef>
          </c:cat>
          <c:val>
            <c:numRef>
              <c:f>(Dashboard!$B$13,Dashboard!$B$14,Dashboard!$B$15,Dashboard!$B$16)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6-4D71-8196-EA3E8105E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3838991"/>
        <c:axId val="453840431"/>
      </c:barChart>
      <c:catAx>
        <c:axId val="453838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40431"/>
        <c:crosses val="autoZero"/>
        <c:auto val="1"/>
        <c:lblAlgn val="ctr"/>
        <c:lblOffset val="100"/>
        <c:noMultiLvlLbl val="0"/>
      </c:catAx>
      <c:valAx>
        <c:axId val="45384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3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17258</xdr:colOff>
      <xdr:row>1</xdr:row>
      <xdr:rowOff>73269</xdr:rowOff>
    </xdr:from>
    <xdr:to>
      <xdr:col>10</xdr:col>
      <xdr:colOff>395083</xdr:colOff>
      <xdr:row>11</xdr:row>
      <xdr:rowOff>181219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6BD09-AE1D-1744-6766-249461D15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12456</xdr:colOff>
      <xdr:row>12</xdr:row>
      <xdr:rowOff>177637</xdr:rowOff>
    </xdr:from>
    <xdr:to>
      <xdr:col>10</xdr:col>
      <xdr:colOff>382465</xdr:colOff>
      <xdr:row>24</xdr:row>
      <xdr:rowOff>177638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F96964-DFF8-5C62-F045-55BB830F2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0D78-F9A9-438D-8696-1447B22223AA}">
  <dimension ref="A1:H11"/>
  <sheetViews>
    <sheetView workbookViewId="0">
      <selection activeCell="F15" sqref="F15"/>
    </sheetView>
  </sheetViews>
  <sheetFormatPr defaultRowHeight="14.5" x14ac:dyDescent="0.35"/>
  <cols>
    <col min="2" max="2" width="12.81640625" customWidth="1"/>
    <col min="3" max="3" width="11.26953125" customWidth="1"/>
    <col min="6" max="6" width="14.54296875" customWidth="1"/>
    <col min="7" max="7" width="15.7265625" customWidth="1"/>
    <col min="8" max="8" width="8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45691</v>
      </c>
      <c r="C2" t="s">
        <v>9</v>
      </c>
      <c r="D2">
        <v>1000</v>
      </c>
      <c r="E2">
        <v>1475</v>
      </c>
      <c r="F2" t="s">
        <v>10</v>
      </c>
      <c r="G2" s="1">
        <v>45693</v>
      </c>
      <c r="H2" t="s">
        <v>11</v>
      </c>
    </row>
    <row r="3" spans="1:8" x14ac:dyDescent="0.35">
      <c r="A3" t="s">
        <v>12</v>
      </c>
      <c r="B3" s="1">
        <v>45691</v>
      </c>
      <c r="C3" t="s">
        <v>13</v>
      </c>
      <c r="D3">
        <v>500</v>
      </c>
      <c r="E3">
        <v>3115</v>
      </c>
      <c r="F3" t="s">
        <v>14</v>
      </c>
      <c r="G3" s="1">
        <v>45693</v>
      </c>
      <c r="H3" t="s">
        <v>11</v>
      </c>
    </row>
    <row r="4" spans="1:8" x14ac:dyDescent="0.35">
      <c r="A4" t="s">
        <v>15</v>
      </c>
      <c r="B4" s="1">
        <v>45691</v>
      </c>
      <c r="C4" t="s">
        <v>16</v>
      </c>
      <c r="D4">
        <v>2000</v>
      </c>
      <c r="E4">
        <v>1610</v>
      </c>
      <c r="F4" t="s">
        <v>17</v>
      </c>
      <c r="G4" s="1">
        <v>45694</v>
      </c>
      <c r="H4" t="s">
        <v>11</v>
      </c>
    </row>
    <row r="5" spans="1:8" x14ac:dyDescent="0.35">
      <c r="A5" t="s">
        <v>18</v>
      </c>
      <c r="B5" s="1">
        <v>45692</v>
      </c>
      <c r="C5" t="s">
        <v>19</v>
      </c>
      <c r="D5">
        <v>1500</v>
      </c>
      <c r="E5">
        <v>950</v>
      </c>
      <c r="F5" t="s">
        <v>20</v>
      </c>
      <c r="G5" s="1">
        <v>45694</v>
      </c>
      <c r="H5" t="s">
        <v>11</v>
      </c>
    </row>
    <row r="6" spans="1:8" x14ac:dyDescent="0.35">
      <c r="A6" t="s">
        <v>21</v>
      </c>
      <c r="B6" s="1">
        <v>45692</v>
      </c>
      <c r="C6" t="s">
        <v>22</v>
      </c>
      <c r="D6">
        <v>3000</v>
      </c>
      <c r="E6">
        <v>320</v>
      </c>
      <c r="F6" t="s">
        <v>23</v>
      </c>
      <c r="G6" s="1">
        <v>45694</v>
      </c>
      <c r="H6" t="s">
        <v>11</v>
      </c>
    </row>
    <row r="7" spans="1:8" x14ac:dyDescent="0.35">
      <c r="A7" t="s">
        <v>24</v>
      </c>
      <c r="B7" s="1">
        <v>45692</v>
      </c>
      <c r="C7" t="s">
        <v>25</v>
      </c>
      <c r="D7">
        <v>800</v>
      </c>
      <c r="E7">
        <v>285</v>
      </c>
      <c r="F7" t="s">
        <v>26</v>
      </c>
      <c r="G7" s="1">
        <v>45695</v>
      </c>
      <c r="H7" t="s">
        <v>11</v>
      </c>
    </row>
    <row r="8" spans="1:8" x14ac:dyDescent="0.35">
      <c r="A8" t="s">
        <v>27</v>
      </c>
      <c r="B8" s="1">
        <v>45693</v>
      </c>
      <c r="C8" t="s">
        <v>28</v>
      </c>
      <c r="D8">
        <v>250</v>
      </c>
      <c r="E8">
        <v>9520</v>
      </c>
      <c r="F8" t="s">
        <v>29</v>
      </c>
      <c r="G8" s="1">
        <v>45695</v>
      </c>
      <c r="H8" t="s">
        <v>11</v>
      </c>
    </row>
    <row r="9" spans="1:8" x14ac:dyDescent="0.35">
      <c r="A9" t="s">
        <v>30</v>
      </c>
      <c r="B9" s="1">
        <v>45693</v>
      </c>
      <c r="C9" t="s">
        <v>31</v>
      </c>
      <c r="D9">
        <v>600</v>
      </c>
      <c r="E9">
        <v>15050</v>
      </c>
      <c r="F9" t="s">
        <v>32</v>
      </c>
      <c r="G9" s="1">
        <v>45695</v>
      </c>
      <c r="H9" t="s">
        <v>11</v>
      </c>
    </row>
    <row r="10" spans="1:8" x14ac:dyDescent="0.35">
      <c r="A10" t="s">
        <v>33</v>
      </c>
      <c r="B10" s="1">
        <v>45693</v>
      </c>
      <c r="C10" t="s">
        <v>34</v>
      </c>
      <c r="D10">
        <v>1200</v>
      </c>
      <c r="E10">
        <v>1610</v>
      </c>
      <c r="F10" t="s">
        <v>35</v>
      </c>
      <c r="G10" s="1">
        <v>45696</v>
      </c>
      <c r="H10" t="s">
        <v>11</v>
      </c>
    </row>
    <row r="11" spans="1:8" x14ac:dyDescent="0.35">
      <c r="A11" t="s">
        <v>36</v>
      </c>
      <c r="B11" s="1">
        <v>45694</v>
      </c>
      <c r="C11" t="s">
        <v>37</v>
      </c>
      <c r="D11">
        <v>2500</v>
      </c>
      <c r="E11">
        <v>1365</v>
      </c>
      <c r="F11" t="s">
        <v>38</v>
      </c>
      <c r="G11" s="1">
        <v>45696</v>
      </c>
      <c r="H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57E6-2B71-4598-BB6E-9B5A4C57A5FB}">
  <dimension ref="A1:H10"/>
  <sheetViews>
    <sheetView workbookViewId="0">
      <selection activeCell="E2" sqref="E2:E10"/>
    </sheetView>
  </sheetViews>
  <sheetFormatPr defaultRowHeight="14.5" x14ac:dyDescent="0.35"/>
  <cols>
    <col min="1" max="1" width="10.54296875" customWidth="1"/>
    <col min="2" max="2" width="13.81640625" customWidth="1"/>
    <col min="3" max="3" width="17.08984375" customWidth="1"/>
    <col min="6" max="6" width="15.7265625" customWidth="1"/>
    <col min="7" max="7" width="18.1796875" customWidth="1"/>
    <col min="8" max="8" width="11.453125" customWidth="1"/>
  </cols>
  <sheetData>
    <row r="1" spans="1:8" x14ac:dyDescent="0.35">
      <c r="A1" t="s">
        <v>0</v>
      </c>
      <c r="B1" t="s">
        <v>39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45691</v>
      </c>
      <c r="C2" t="s">
        <v>9</v>
      </c>
      <c r="D2">
        <v>1000</v>
      </c>
      <c r="E2">
        <v>1475</v>
      </c>
      <c r="F2" t="s">
        <v>10</v>
      </c>
      <c r="G2" s="1">
        <v>45693</v>
      </c>
      <c r="H2" t="s">
        <v>40</v>
      </c>
    </row>
    <row r="3" spans="1:8" x14ac:dyDescent="0.35">
      <c r="A3" t="s">
        <v>12</v>
      </c>
      <c r="B3" s="1">
        <v>45691</v>
      </c>
      <c r="C3" t="s">
        <v>13</v>
      </c>
      <c r="D3">
        <v>500</v>
      </c>
      <c r="E3">
        <v>3120</v>
      </c>
      <c r="F3" t="s">
        <v>14</v>
      </c>
      <c r="G3" s="1">
        <v>45693</v>
      </c>
      <c r="H3" t="s">
        <v>40</v>
      </c>
    </row>
    <row r="4" spans="1:8" x14ac:dyDescent="0.35">
      <c r="A4" t="s">
        <v>15</v>
      </c>
      <c r="B4" s="1">
        <v>45691</v>
      </c>
      <c r="C4" t="s">
        <v>16</v>
      </c>
      <c r="D4">
        <v>1800</v>
      </c>
      <c r="E4">
        <v>1610</v>
      </c>
      <c r="F4" t="s">
        <v>17</v>
      </c>
      <c r="G4" s="1">
        <v>45694</v>
      </c>
      <c r="H4" t="s">
        <v>40</v>
      </c>
    </row>
    <row r="5" spans="1:8" x14ac:dyDescent="0.35">
      <c r="A5" t="s">
        <v>18</v>
      </c>
      <c r="B5" s="1">
        <v>45692</v>
      </c>
      <c r="C5" t="s">
        <v>19</v>
      </c>
      <c r="D5">
        <v>1500</v>
      </c>
      <c r="E5">
        <v>950</v>
      </c>
      <c r="F5" t="s">
        <v>20</v>
      </c>
      <c r="G5" s="1">
        <v>45694</v>
      </c>
      <c r="H5" t="s">
        <v>11</v>
      </c>
    </row>
    <row r="6" spans="1:8" x14ac:dyDescent="0.35">
      <c r="A6" t="s">
        <v>24</v>
      </c>
      <c r="B6" s="1">
        <v>45692</v>
      </c>
      <c r="C6" t="s">
        <v>25</v>
      </c>
      <c r="D6">
        <v>800</v>
      </c>
      <c r="E6">
        <v>285</v>
      </c>
      <c r="F6" t="s">
        <v>26</v>
      </c>
      <c r="G6" s="1">
        <v>45695</v>
      </c>
      <c r="H6" t="s">
        <v>40</v>
      </c>
    </row>
    <row r="7" spans="1:8" x14ac:dyDescent="0.35">
      <c r="A7" t="s">
        <v>27</v>
      </c>
      <c r="B7" s="1">
        <v>45693</v>
      </c>
      <c r="C7" t="s">
        <v>28</v>
      </c>
      <c r="D7">
        <v>250</v>
      </c>
      <c r="E7">
        <v>9520</v>
      </c>
      <c r="F7" t="s">
        <v>29</v>
      </c>
      <c r="G7" s="1">
        <v>45696</v>
      </c>
      <c r="H7" t="s">
        <v>40</v>
      </c>
    </row>
    <row r="8" spans="1:8" x14ac:dyDescent="0.35">
      <c r="A8" t="s">
        <v>30</v>
      </c>
      <c r="B8" s="1">
        <v>45693</v>
      </c>
      <c r="C8" t="s">
        <v>31</v>
      </c>
      <c r="D8">
        <v>600</v>
      </c>
      <c r="E8">
        <v>15050</v>
      </c>
      <c r="F8" t="s">
        <v>32</v>
      </c>
      <c r="G8" s="1">
        <v>45695</v>
      </c>
      <c r="H8" t="s">
        <v>40</v>
      </c>
    </row>
    <row r="9" spans="1:8" x14ac:dyDescent="0.35">
      <c r="A9" t="s">
        <v>33</v>
      </c>
      <c r="B9" s="1">
        <v>45693</v>
      </c>
      <c r="C9" t="s">
        <v>34</v>
      </c>
      <c r="D9">
        <v>1200</v>
      </c>
      <c r="E9">
        <v>1605</v>
      </c>
      <c r="F9" t="s">
        <v>35</v>
      </c>
      <c r="G9" s="1">
        <v>45696</v>
      </c>
      <c r="H9" t="s">
        <v>40</v>
      </c>
    </row>
    <row r="10" spans="1:8" x14ac:dyDescent="0.35">
      <c r="A10" t="s">
        <v>41</v>
      </c>
      <c r="B10" s="1">
        <v>45694</v>
      </c>
      <c r="C10" t="s">
        <v>42</v>
      </c>
      <c r="D10">
        <v>1000</v>
      </c>
      <c r="E10">
        <v>995</v>
      </c>
      <c r="F10" t="s">
        <v>10</v>
      </c>
      <c r="G10" s="1">
        <v>45696</v>
      </c>
      <c r="H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ED87-E601-4120-9E29-804AB31E47F8}">
  <dimension ref="A1:L12"/>
  <sheetViews>
    <sheetView topLeftCell="H1" workbookViewId="0">
      <selection activeCell="L17" sqref="L17"/>
    </sheetView>
  </sheetViews>
  <sheetFormatPr defaultRowHeight="14.5" x14ac:dyDescent="0.35"/>
  <cols>
    <col min="3" max="3" width="12.81640625" customWidth="1"/>
    <col min="4" max="4" width="10.08984375" customWidth="1"/>
    <col min="5" max="5" width="10.6328125" customWidth="1"/>
    <col min="6" max="6" width="13.08984375" customWidth="1"/>
    <col min="7" max="7" width="11.26953125" customWidth="1"/>
    <col min="8" max="8" width="12.26953125" customWidth="1"/>
    <col min="9" max="9" width="17.36328125" customWidth="1"/>
    <col min="10" max="10" width="17.1796875" customWidth="1"/>
    <col min="11" max="11" width="11.1796875" customWidth="1"/>
    <col min="12" max="12" width="12" customWidth="1"/>
  </cols>
  <sheetData>
    <row r="1" spans="1:12" x14ac:dyDescent="0.35">
      <c r="A1" t="s">
        <v>0</v>
      </c>
      <c r="B1" t="s">
        <v>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</row>
    <row r="2" spans="1:12" x14ac:dyDescent="0.35">
      <c r="A2" t="s">
        <v>8</v>
      </c>
      <c r="B2" t="str">
        <f>VLOOKUP(A2,Internal_Trades!A:H,3,0)</f>
        <v>RELIANCE</v>
      </c>
      <c r="C2">
        <f>IFERROR(VLOOKUP(A2,Internal_Trades!A:H,4,0),"")</f>
        <v>1000</v>
      </c>
      <c r="D2">
        <f>IFERROR(VLOOKUP(A2,Broker_Confirmations!A:H,4,0),"")</f>
        <v>1000</v>
      </c>
      <c r="E2" t="str">
        <f>IF(AND(C2&lt;&gt;"",D2&lt;&gt;""),IF(C2=D2,"MATCH","BREAK"),"MISSING")</f>
        <v>MATCH</v>
      </c>
      <c r="F2">
        <f>IFERROR(VLOOKUP(A2,Internal_Trades!A:H,5,0),"")</f>
        <v>1475</v>
      </c>
      <c r="G2">
        <f>IFERROR(VLOOKUP(A2,Broker_Confirmations!A:H,5,0),"")</f>
        <v>1475</v>
      </c>
      <c r="H2" t="str">
        <f>IF(AND(F2&lt;&gt;"",G2&lt;&gt;""),IF(F2=G2,"MATCH","BREAK"),"MISSING")</f>
        <v>MATCH</v>
      </c>
      <c r="I2">
        <f>IFERROR(VLOOKUP(A2,Internal_Trades!A:H,7,0),"")</f>
        <v>45693</v>
      </c>
      <c r="J2">
        <f>IFERROR(VLOOKUP(A2,Broker_Confirmations!A:H,7,0),"")</f>
        <v>45693</v>
      </c>
      <c r="K2" t="str">
        <f>IF(AND(I2&lt;&gt;"",J2&lt;&gt;""),IF(I2=J2,"MATCH","BREAK"),"MISSING")</f>
        <v>MATCH</v>
      </c>
      <c r="L2" t="str">
        <f>IF(OR(E2="MISSING",H2="MISSING",K2="MISSING"),"MISSING",IF(OR(E2="BREAK",H2="BREAK",K2="BREAK"),"BREAK","MATCH"))</f>
        <v>MATCH</v>
      </c>
    </row>
    <row r="3" spans="1:12" x14ac:dyDescent="0.35">
      <c r="A3" t="s">
        <v>12</v>
      </c>
      <c r="B3" t="str">
        <f>VLOOKUP(A3,Internal_Trades!A:H,3,0)</f>
        <v>TCS</v>
      </c>
      <c r="C3">
        <f>IFERROR(VLOOKUP(A3,Internal_Trades!A:H,4,0),"")</f>
        <v>500</v>
      </c>
      <c r="D3">
        <f>IFERROR(VLOOKUP(A3,Broker_Confirmations!A:H,4,0),"")</f>
        <v>500</v>
      </c>
      <c r="E3" t="str">
        <f t="shared" ref="E3:E12" si="0">IF(AND(C3&lt;&gt;"",D3&lt;&gt;""),IF(C3=D3,"MATCH","BREAK"),"MISSING")</f>
        <v>MATCH</v>
      </c>
      <c r="F3">
        <f>IFERROR(VLOOKUP(A3,Internal_Trades!A:H,5,0),"")</f>
        <v>3115</v>
      </c>
      <c r="G3">
        <f>IFERROR(VLOOKUP(A3,Broker_Confirmations!A:H,5,0),"")</f>
        <v>3120</v>
      </c>
      <c r="H3" t="str">
        <f t="shared" ref="H3:H12" si="1">IF(AND(F3&lt;&gt;"",G3&lt;&gt;""),IF(F3=G3,"MATCH","BREAK"),"MISSING")</f>
        <v>BREAK</v>
      </c>
      <c r="I3">
        <f>IFERROR(VLOOKUP(A3,Internal_Trades!A:H,7,0),"")</f>
        <v>45693</v>
      </c>
      <c r="J3">
        <f>IFERROR(VLOOKUP(A3,Broker_Confirmations!A:H,7,0),"")</f>
        <v>45693</v>
      </c>
      <c r="K3" t="str">
        <f t="shared" ref="K3:K12" si="2">IF(AND(I3&lt;&gt;"",J3&lt;&gt;""),IF(I3=J3,"MATCH","BREAK"),"MISSING")</f>
        <v>MATCH</v>
      </c>
      <c r="L3" t="str">
        <f t="shared" ref="L3:L12" si="3">IF(OR(E3="MISSING",H3="MISSING",K3="MISSING"),"MISSING",IF(OR(E3="BREAK",H3="BREAK",K3="BREAK"),"BREAK","MATCH"))</f>
        <v>BREAK</v>
      </c>
    </row>
    <row r="4" spans="1:12" x14ac:dyDescent="0.35">
      <c r="A4" t="s">
        <v>15</v>
      </c>
      <c r="B4" t="str">
        <f>VLOOKUP(A4,Internal_Trades!A:H,3,0)</f>
        <v>INFY</v>
      </c>
      <c r="C4">
        <f>IFERROR(VLOOKUP(A4,Internal_Trades!A:H,4,0),"")</f>
        <v>2000</v>
      </c>
      <c r="D4">
        <f>IFERROR(VLOOKUP(A4,Broker_Confirmations!A:H,4,0),"")</f>
        <v>1800</v>
      </c>
      <c r="E4" t="str">
        <f t="shared" si="0"/>
        <v>BREAK</v>
      </c>
      <c r="F4">
        <f>IFERROR(VLOOKUP(A4,Internal_Trades!A:H,5,0),"")</f>
        <v>1610</v>
      </c>
      <c r="G4">
        <f>IFERROR(VLOOKUP(A4,Broker_Confirmations!A:H,5,0),"")</f>
        <v>1610</v>
      </c>
      <c r="H4" t="str">
        <f t="shared" si="1"/>
        <v>MATCH</v>
      </c>
      <c r="I4">
        <f>IFERROR(VLOOKUP(A4,Internal_Trades!A:H,7,0),"")</f>
        <v>45694</v>
      </c>
      <c r="J4">
        <f>IFERROR(VLOOKUP(A4,Broker_Confirmations!A:H,7,0),"")</f>
        <v>45694</v>
      </c>
      <c r="K4" t="str">
        <f t="shared" si="2"/>
        <v>MATCH</v>
      </c>
      <c r="L4" t="str">
        <f t="shared" si="3"/>
        <v>BREAK</v>
      </c>
    </row>
    <row r="5" spans="1:12" x14ac:dyDescent="0.35">
      <c r="A5" t="s">
        <v>18</v>
      </c>
      <c r="B5" t="str">
        <f>VLOOKUP(A5,Internal_Trades!A:H,3,0)</f>
        <v>HDFC</v>
      </c>
      <c r="C5">
        <f>IFERROR(VLOOKUP(A5,Internal_Trades!A:H,4,0),"")</f>
        <v>1500</v>
      </c>
      <c r="D5">
        <f>IFERROR(VLOOKUP(A5,Broker_Confirmations!A:H,4,0),"")</f>
        <v>1500</v>
      </c>
      <c r="E5" t="str">
        <f t="shared" si="0"/>
        <v>MATCH</v>
      </c>
      <c r="F5">
        <f>IFERROR(VLOOKUP(A5,Internal_Trades!A:H,5,0),"")</f>
        <v>950</v>
      </c>
      <c r="G5">
        <f>IFERROR(VLOOKUP(A5,Broker_Confirmations!A:H,5,0),"")</f>
        <v>950</v>
      </c>
      <c r="H5" t="str">
        <f t="shared" si="1"/>
        <v>MATCH</v>
      </c>
      <c r="I5">
        <f>IFERROR(VLOOKUP(A5,Internal_Trades!A:H,7,0),"")</f>
        <v>45694</v>
      </c>
      <c r="J5">
        <f>IFERROR(VLOOKUP(A5,Broker_Confirmations!A:H,7,0),"")</f>
        <v>45694</v>
      </c>
      <c r="K5" t="str">
        <f t="shared" si="2"/>
        <v>MATCH</v>
      </c>
      <c r="L5" t="str">
        <f t="shared" si="3"/>
        <v>MATCH</v>
      </c>
    </row>
    <row r="6" spans="1:12" x14ac:dyDescent="0.35">
      <c r="A6" t="s">
        <v>21</v>
      </c>
      <c r="B6" t="str">
        <f>VLOOKUP(A6,Internal_Trades!A:H,3,0)</f>
        <v>ITC</v>
      </c>
      <c r="C6">
        <f>IFERROR(VLOOKUP(A6,Internal_Trades!A:H,4,0),"")</f>
        <v>3000</v>
      </c>
      <c r="D6" t="str">
        <f>IFERROR(VLOOKUP(A6,Broker_Confirmations!A:H,4,0),"")</f>
        <v/>
      </c>
      <c r="E6" t="str">
        <f t="shared" si="0"/>
        <v>MISSING</v>
      </c>
      <c r="F6">
        <f>IFERROR(VLOOKUP(A6,Internal_Trades!A:H,5,0),"")</f>
        <v>320</v>
      </c>
      <c r="G6" t="str">
        <f>IFERROR(VLOOKUP(A6,Broker_Confirmations!A:H,5,0),"")</f>
        <v/>
      </c>
      <c r="H6" t="str">
        <f t="shared" si="1"/>
        <v>MISSING</v>
      </c>
      <c r="I6">
        <f>IFERROR(VLOOKUP(A6,Internal_Trades!A:H,7,0),"")</f>
        <v>45694</v>
      </c>
      <c r="J6" t="str">
        <f>IFERROR(VLOOKUP(A6,Broker_Confirmations!A:H,7,0),"")</f>
        <v/>
      </c>
      <c r="K6" t="str">
        <f t="shared" si="2"/>
        <v>MISSING</v>
      </c>
      <c r="L6" t="str">
        <f t="shared" si="3"/>
        <v>MISSING</v>
      </c>
    </row>
    <row r="7" spans="1:12" x14ac:dyDescent="0.35">
      <c r="A7" t="s">
        <v>24</v>
      </c>
      <c r="B7" t="str">
        <f>VLOOKUP(A7,Internal_Trades!A:H,3,0)</f>
        <v>WIPRO</v>
      </c>
      <c r="C7">
        <f>IFERROR(VLOOKUP(A7,Internal_Trades!A:H,4,0),"")</f>
        <v>800</v>
      </c>
      <c r="D7">
        <f>IFERROR(VLOOKUP(A7,Broker_Confirmations!A:H,4,0),"")</f>
        <v>800</v>
      </c>
      <c r="E7" t="str">
        <f t="shared" si="0"/>
        <v>MATCH</v>
      </c>
      <c r="F7">
        <f>IFERROR(VLOOKUP(A7,Internal_Trades!A:H,5,0),"")</f>
        <v>285</v>
      </c>
      <c r="G7">
        <f>IFERROR(VLOOKUP(A7,Broker_Confirmations!A:H,5,0),"")</f>
        <v>285</v>
      </c>
      <c r="H7" t="str">
        <f t="shared" si="1"/>
        <v>MATCH</v>
      </c>
      <c r="I7">
        <f>IFERROR(VLOOKUP(A7,Internal_Trades!A:H,7,0),"")</f>
        <v>45695</v>
      </c>
      <c r="J7">
        <f>IFERROR(VLOOKUP(A7,Broker_Confirmations!A:H,7,0),"")</f>
        <v>45695</v>
      </c>
      <c r="K7" t="str">
        <f t="shared" si="2"/>
        <v>MATCH</v>
      </c>
      <c r="L7" t="str">
        <f t="shared" si="3"/>
        <v>MATCH</v>
      </c>
    </row>
    <row r="8" spans="1:12" x14ac:dyDescent="0.35">
      <c r="A8" t="s">
        <v>27</v>
      </c>
      <c r="B8" t="str">
        <f>VLOOKUP(A8,Internal_Trades!A:H,3,0)</f>
        <v>BAJAJ-AUTO</v>
      </c>
      <c r="C8">
        <f>IFERROR(VLOOKUP(A8,Internal_Trades!A:H,4,0),"")</f>
        <v>250</v>
      </c>
      <c r="D8">
        <f>IFERROR(VLOOKUP(A8,Broker_Confirmations!A:H,4,0),"")</f>
        <v>250</v>
      </c>
      <c r="E8" t="str">
        <f t="shared" si="0"/>
        <v>MATCH</v>
      </c>
      <c r="F8">
        <f>IFERROR(VLOOKUP(A8,Internal_Trades!A:H,5,0),"")</f>
        <v>9520</v>
      </c>
      <c r="G8">
        <f>IFERROR(VLOOKUP(A8,Broker_Confirmations!A:H,5,0),"")</f>
        <v>9520</v>
      </c>
      <c r="H8" t="str">
        <f t="shared" si="1"/>
        <v>MATCH</v>
      </c>
      <c r="I8">
        <f>IFERROR(VLOOKUP(A8,Internal_Trades!A:H,7,0),"")</f>
        <v>45695</v>
      </c>
      <c r="J8">
        <f>IFERROR(VLOOKUP(A8,Broker_Confirmations!A:H,7,0),"")</f>
        <v>45696</v>
      </c>
      <c r="K8" t="str">
        <f t="shared" si="2"/>
        <v>BREAK</v>
      </c>
      <c r="L8" t="str">
        <f t="shared" si="3"/>
        <v>BREAK</v>
      </c>
    </row>
    <row r="9" spans="1:12" x14ac:dyDescent="0.35">
      <c r="A9" t="s">
        <v>30</v>
      </c>
      <c r="B9" t="str">
        <f>VLOOKUP(A9,Internal_Trades!A:H,3,0)</f>
        <v>MARUTI</v>
      </c>
      <c r="C9">
        <f>IFERROR(VLOOKUP(A9,Internal_Trades!A:H,4,0),"")</f>
        <v>600</v>
      </c>
      <c r="D9">
        <f>IFERROR(VLOOKUP(A9,Broker_Confirmations!A:H,4,0),"")</f>
        <v>600</v>
      </c>
      <c r="E9" t="str">
        <f t="shared" si="0"/>
        <v>MATCH</v>
      </c>
      <c r="F9">
        <f>IFERROR(VLOOKUP(A9,Internal_Trades!A:H,5,0),"")</f>
        <v>15050</v>
      </c>
      <c r="G9">
        <f>IFERROR(VLOOKUP(A9,Broker_Confirmations!A:H,5,0),"")</f>
        <v>15050</v>
      </c>
      <c r="H9" t="str">
        <f t="shared" si="1"/>
        <v>MATCH</v>
      </c>
      <c r="I9">
        <f>IFERROR(VLOOKUP(A9,Internal_Trades!A:H,7,0),"")</f>
        <v>45695</v>
      </c>
      <c r="J9">
        <f>IFERROR(VLOOKUP(A9,Broker_Confirmations!A:H,7,0),"")</f>
        <v>45695</v>
      </c>
      <c r="K9" t="str">
        <f t="shared" si="2"/>
        <v>MATCH</v>
      </c>
      <c r="L9" t="str">
        <f t="shared" si="3"/>
        <v>MATCH</v>
      </c>
    </row>
    <row r="10" spans="1:12" x14ac:dyDescent="0.35">
      <c r="A10" t="s">
        <v>33</v>
      </c>
      <c r="B10" t="str">
        <f>VLOOKUP(A10,Internal_Trades!A:H,3,0)</f>
        <v>HCLTECH</v>
      </c>
      <c r="C10">
        <f>IFERROR(VLOOKUP(A10,Internal_Trades!A:H,4,0),"")</f>
        <v>1200</v>
      </c>
      <c r="D10">
        <f>IFERROR(VLOOKUP(A10,Broker_Confirmations!A:H,4,0),"")</f>
        <v>1200</v>
      </c>
      <c r="E10" t="str">
        <f t="shared" si="0"/>
        <v>MATCH</v>
      </c>
      <c r="F10">
        <f>IFERROR(VLOOKUP(A10,Internal_Trades!A:H,5,0),"")</f>
        <v>1610</v>
      </c>
      <c r="G10">
        <f>IFERROR(VLOOKUP(A10,Broker_Confirmations!A:H,5,0),"")</f>
        <v>1605</v>
      </c>
      <c r="H10" t="str">
        <f t="shared" si="1"/>
        <v>BREAK</v>
      </c>
      <c r="I10">
        <f>IFERROR(VLOOKUP(A10,Internal_Trades!A:H,7,0),"")</f>
        <v>45696</v>
      </c>
      <c r="J10">
        <f>IFERROR(VLOOKUP(A10,Broker_Confirmations!A:H,7,0),"")</f>
        <v>45696</v>
      </c>
      <c r="K10" t="str">
        <f t="shared" si="2"/>
        <v>MATCH</v>
      </c>
      <c r="L10" t="str">
        <f t="shared" si="3"/>
        <v>BREAK</v>
      </c>
    </row>
    <row r="11" spans="1:12" x14ac:dyDescent="0.35">
      <c r="A11" t="s">
        <v>36</v>
      </c>
      <c r="B11" t="str">
        <f>VLOOKUP(A11,Internal_Trades!A:H,3,0)</f>
        <v>ICICIBANK</v>
      </c>
      <c r="C11">
        <f>IFERROR(VLOOKUP(A11,Internal_Trades!A:H,4,0),"")</f>
        <v>2500</v>
      </c>
      <c r="D11" t="str">
        <f>IFERROR(VLOOKUP(A11,Broker_Confirmations!A:H,4,0),"")</f>
        <v/>
      </c>
      <c r="E11" t="str">
        <f t="shared" si="0"/>
        <v>MISSING</v>
      </c>
      <c r="F11">
        <f>IFERROR(VLOOKUP(A11,Internal_Trades!A:H,5,0),"")</f>
        <v>1365</v>
      </c>
      <c r="G11" t="str">
        <f>IFERROR(VLOOKUP(A11,Broker_Confirmations!A:H,5,0),"")</f>
        <v/>
      </c>
      <c r="H11" t="str">
        <f t="shared" si="1"/>
        <v>MISSING</v>
      </c>
      <c r="I11">
        <f>IFERROR(VLOOKUP(A11,Internal_Trades!A:H,7,0),"")</f>
        <v>45696</v>
      </c>
      <c r="J11" t="str">
        <f>IFERROR(VLOOKUP(A11,Broker_Confirmations!A:H,7,0),"")</f>
        <v/>
      </c>
      <c r="K11" t="str">
        <f t="shared" si="2"/>
        <v>MISSING</v>
      </c>
      <c r="L11" t="str">
        <f t="shared" si="3"/>
        <v>MISSING</v>
      </c>
    </row>
    <row r="12" spans="1:12" x14ac:dyDescent="0.35">
      <c r="A12" t="s">
        <v>41</v>
      </c>
      <c r="B12" s="2" t="str">
        <f>VLOOKUP(A12,Broker_Confirmations!A:H,3,0)</f>
        <v>TATAMOTORS</v>
      </c>
      <c r="C12" t="str">
        <f>IFERROR(VLOOKUP(A12,Internal_Trades!A:H,4,0),"")</f>
        <v/>
      </c>
      <c r="D12">
        <f>IFERROR(VLOOKUP(A12,Broker_Confirmations!A:H,4,0),"")</f>
        <v>1000</v>
      </c>
      <c r="E12" t="str">
        <f t="shared" si="0"/>
        <v>MISSING</v>
      </c>
      <c r="F12" t="str">
        <f>IFERROR(VLOOKUP(A12,Internal_Trades!A:H,5,0),"")</f>
        <v/>
      </c>
      <c r="G12">
        <f>IFERROR(VLOOKUP(A12,Broker_Confirmations!A:H,5,0),"")</f>
        <v>995</v>
      </c>
      <c r="H12" t="str">
        <f t="shared" si="1"/>
        <v>MISSING</v>
      </c>
      <c r="I12" t="str">
        <f>IFERROR(VLOOKUP(A12,Internal_Trades!A:H,7,0),"")</f>
        <v/>
      </c>
      <c r="J12">
        <f>IFERROR(VLOOKUP(A12,Broker_Confirmations!A:H,7,0),"")</f>
        <v>45696</v>
      </c>
      <c r="K12" t="str">
        <f t="shared" si="2"/>
        <v>MISSING</v>
      </c>
      <c r="L12" t="str">
        <f t="shared" si="3"/>
        <v>MISSING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9F46-5FBF-4C33-A3E4-3D2E5A0F3E9C}">
  <dimension ref="A1:B33"/>
  <sheetViews>
    <sheetView tabSelected="1" topLeftCell="A10" zoomScale="78" zoomScaleNormal="78" workbookViewId="0">
      <selection activeCell="F29" sqref="F29"/>
    </sheetView>
  </sheetViews>
  <sheetFormatPr defaultRowHeight="14.5" x14ac:dyDescent="0.35"/>
  <cols>
    <col min="1" max="1" width="31.6328125" customWidth="1"/>
  </cols>
  <sheetData>
    <row r="1" spans="1:2" ht="21" x14ac:dyDescent="0.5">
      <c r="A1" s="5" t="s">
        <v>68</v>
      </c>
    </row>
    <row r="3" spans="1:2" x14ac:dyDescent="0.35">
      <c r="A3" t="s">
        <v>53</v>
      </c>
      <c r="B3">
        <f>COUNTA(Reconciliation!A2:A12)</f>
        <v>11</v>
      </c>
    </row>
    <row r="4" spans="1:2" x14ac:dyDescent="0.35">
      <c r="A4" s="4" t="s">
        <v>54</v>
      </c>
      <c r="B4" s="4">
        <f>COUNTIF(Reconciliation!L2:L12,"MATCH")</f>
        <v>4</v>
      </c>
    </row>
    <row r="5" spans="1:2" x14ac:dyDescent="0.35">
      <c r="A5" s="4" t="s">
        <v>55</v>
      </c>
      <c r="B5" s="4">
        <f>COUNTIF(Reconciliation!L2:L12,"BREAK")</f>
        <v>4</v>
      </c>
    </row>
    <row r="6" spans="1:2" x14ac:dyDescent="0.35">
      <c r="A6" s="4" t="s">
        <v>56</v>
      </c>
      <c r="B6" s="4">
        <f>COUNTIF(Reconciliation!L2:L12,"MISSING")</f>
        <v>3</v>
      </c>
    </row>
    <row r="7" spans="1:2" x14ac:dyDescent="0.35">
      <c r="A7" s="4"/>
    </row>
    <row r="8" spans="1:2" x14ac:dyDescent="0.35">
      <c r="A8" s="4" t="s">
        <v>57</v>
      </c>
      <c r="B8" s="4" t="str">
        <f>TEXT((B5+B6)/B3,"0.0%")</f>
        <v>63.6%</v>
      </c>
    </row>
    <row r="9" spans="1:2" x14ac:dyDescent="0.35">
      <c r="A9" s="4" t="s">
        <v>58</v>
      </c>
      <c r="B9" s="4" t="str">
        <f>TEXT(B4/B3,"0.0%")</f>
        <v>36.4%</v>
      </c>
    </row>
    <row r="11" spans="1:2" ht="18.5" x14ac:dyDescent="0.45">
      <c r="A11" s="6" t="s">
        <v>69</v>
      </c>
    </row>
    <row r="13" spans="1:2" x14ac:dyDescent="0.35">
      <c r="A13" s="3" t="s">
        <v>59</v>
      </c>
      <c r="B13">
        <f>COUNTIF(Reconciliation!H2:H12,"BREAK")</f>
        <v>2</v>
      </c>
    </row>
    <row r="14" spans="1:2" x14ac:dyDescent="0.35">
      <c r="A14" s="4" t="s">
        <v>60</v>
      </c>
      <c r="B14" s="4">
        <f>COUNTIF(Reconciliation!E2:E12,"BREAK")</f>
        <v>1</v>
      </c>
    </row>
    <row r="15" spans="1:2" x14ac:dyDescent="0.35">
      <c r="A15" s="4" t="s">
        <v>61</v>
      </c>
      <c r="B15">
        <f>COUNTIF(Reconciliation!K2:K12,"BREAK")</f>
        <v>1</v>
      </c>
    </row>
    <row r="16" spans="1:2" x14ac:dyDescent="0.35">
      <c r="A16" s="3" t="s">
        <v>62</v>
      </c>
      <c r="B16">
        <f>COUNTIF(Reconciliation!L2:L12,"MISSING")</f>
        <v>3</v>
      </c>
    </row>
    <row r="18" spans="1:1" ht="18.5" x14ac:dyDescent="0.45">
      <c r="A18" s="6" t="s">
        <v>70</v>
      </c>
    </row>
    <row r="20" spans="1:1" x14ac:dyDescent="0.35">
      <c r="A20" t="s">
        <v>63</v>
      </c>
    </row>
    <row r="21" spans="1:1" x14ac:dyDescent="0.35">
      <c r="A21" t="s">
        <v>71</v>
      </c>
    </row>
    <row r="22" spans="1:1" x14ac:dyDescent="0.35">
      <c r="A22" t="s">
        <v>72</v>
      </c>
    </row>
    <row r="23" spans="1:1" x14ac:dyDescent="0.35">
      <c r="A23" t="s">
        <v>64</v>
      </c>
    </row>
    <row r="26" spans="1:1" x14ac:dyDescent="0.35">
      <c r="A26" t="s">
        <v>65</v>
      </c>
    </row>
    <row r="27" spans="1:1" x14ac:dyDescent="0.35">
      <c r="A27" t="s">
        <v>66</v>
      </c>
    </row>
    <row r="28" spans="1:1" x14ac:dyDescent="0.35">
      <c r="A28" t="s">
        <v>67</v>
      </c>
    </row>
    <row r="32" spans="1:1" x14ac:dyDescent="0.35">
      <c r="A32" s="3" t="s">
        <v>73</v>
      </c>
    </row>
    <row r="33" spans="1:1" x14ac:dyDescent="0.35">
      <c r="A33" t="s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Internal_Trades</vt:lpstr>
      <vt:lpstr>Broker_Confirmations</vt:lpstr>
      <vt:lpstr>Reconciliation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 priya vasanasetti</dc:creator>
  <cp:lastModifiedBy>geetha priya vasanasetti</cp:lastModifiedBy>
  <dcterms:created xsi:type="dcterms:W3CDTF">2026-02-07T06:45:14Z</dcterms:created>
  <dcterms:modified xsi:type="dcterms:W3CDTF">2026-02-07T11:00:38Z</dcterms:modified>
</cp:coreProperties>
</file>